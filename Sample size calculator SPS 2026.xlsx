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jan\Documents\1 Lab CTC\SPS Sample size\"/>
    </mc:Choice>
  </mc:AlternateContent>
  <xr:revisionPtr revIDLastSave="0" documentId="13_ncr:1_{411073C1-9A8A-46A1-9946-4AE051FDCCB4}" xr6:coauthVersionLast="47" xr6:coauthVersionMax="47" xr10:uidLastSave="{00000000-0000-0000-0000-000000000000}"/>
  <workbookProtection workbookAlgorithmName="SHA-512" workbookHashValue="BfkLDCoTUb2m0S0kN5Ozv9b+35HTq9fgJLFXjrdGQciq7ke18qBH8pTniz9yj5F5TzxJRv63JCr+7lO6GskJ/A==" workbookSaltValue="67VyxS20O0fdNnpTeJvrZg==" workbookSpinCount="100000" lockStructure="1"/>
  <bookViews>
    <workbookView xWindow="19680" yWindow="150" windowWidth="16260" windowHeight="21960" tabRatio="825" activeTab="1" xr2:uid="{00000000-000D-0000-FFFF-FFFF00000000}"/>
  </bookViews>
  <sheets>
    <sheet name="Means (2 groups)" sheetId="4" r:id="rId1"/>
    <sheet name="Proportions (2 groups)" sheetId="9" r:id="rId2"/>
    <sheet name="Questionnaire" sheetId="15" r:id="rId3"/>
    <sheet name="Useful calculations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9" l="1"/>
  <c r="B16" i="15"/>
  <c r="B17" i="15" s="1"/>
  <c r="B26" i="15" s="1"/>
  <c r="B8" i="15" l="1"/>
  <c r="C8" i="15" s="1"/>
  <c r="B22" i="15" l="1"/>
  <c r="B20" i="15"/>
  <c r="B21" i="15" s="1"/>
  <c r="A3" i="4"/>
  <c r="A2" i="4"/>
  <c r="A3" i="9"/>
  <c r="B24" i="15" l="1"/>
  <c r="B25" i="15" s="1"/>
  <c r="C16" i="9"/>
  <c r="A16" i="9"/>
  <c r="A15" i="9"/>
  <c r="A2" i="9"/>
  <c r="G10" i="16" l="1"/>
  <c r="E10" i="16"/>
  <c r="G14" i="16"/>
  <c r="B25" i="16"/>
  <c r="E14" i="16" s="1"/>
  <c r="B27" i="16"/>
  <c r="F18" i="16"/>
  <c r="B16" i="4"/>
  <c r="B26" i="4"/>
  <c r="B18" i="15"/>
  <c r="B12" i="15" s="1"/>
  <c r="B19" i="15"/>
  <c r="B24" i="16" l="1"/>
  <c r="B9" i="16" s="1"/>
  <c r="B10" i="16" l="1"/>
  <c r="B29" i="9" l="1"/>
  <c r="B40" i="9"/>
  <c r="B39" i="9"/>
  <c r="B24" i="4"/>
  <c r="B32" i="9"/>
  <c r="B16" i="9" s="1"/>
  <c r="B28" i="9"/>
  <c r="B30" i="9" s="1"/>
  <c r="B15" i="9" l="1"/>
  <c r="B26" i="9"/>
  <c r="B29" i="4"/>
  <c r="B27" i="4"/>
  <c r="B28" i="4"/>
  <c r="C15" i="9" l="1" a="1"/>
  <c r="C15" i="9" s="1"/>
  <c r="B19" i="9"/>
  <c r="B20" i="9" s="1"/>
  <c r="B23" i="4"/>
  <c r="B35" i="9" l="1"/>
  <c r="B27" i="9" s="1"/>
  <c r="B33" i="9"/>
  <c r="B34" i="9" l="1"/>
  <c r="B24" i="9" s="1"/>
  <c r="B25" i="9" s="1"/>
  <c r="B12" i="9" s="1"/>
  <c r="B36" i="9"/>
  <c r="B13" i="9" l="1"/>
  <c r="B14" i="9" s="1"/>
  <c r="B50" i="9"/>
  <c r="B37" i="9"/>
  <c r="B25" i="4" l="1"/>
  <c r="B21" i="4" s="1"/>
  <c r="B20" i="4" l="1"/>
  <c r="B22" i="4"/>
  <c r="B13" i="4" s="1"/>
  <c r="B14" i="4" s="1"/>
  <c r="B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<sst xmlns="http://schemas.openxmlformats.org/spreadsheetml/2006/main" count="162" uniqueCount="114">
  <si>
    <t>alpha</t>
  </si>
  <si>
    <t>sigma^2</t>
  </si>
  <si>
    <t>Zalpha</t>
  </si>
  <si>
    <t>Zbeta</t>
  </si>
  <si>
    <t>SD</t>
  </si>
  <si>
    <t>n (per group)</t>
  </si>
  <si>
    <t>1- or 2 tail</t>
  </si>
  <si>
    <t>n (per study)</t>
  </si>
  <si>
    <t>Power (%)</t>
  </si>
  <si>
    <t>sigma = stdev</t>
  </si>
  <si>
    <t>standard normal derivative (value from std normal distribution; function attributes: probability, mean=0, stdev=1) for the type 1 error</t>
  </si>
  <si>
    <t>standard normal derivative (value from std normal distribution; function attributes: probability, mean=0, stdev=1) for the type 2 error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</si>
  <si>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c</t>
    </r>
  </si>
  <si>
    <r>
      <t>p</t>
    </r>
    <r>
      <rPr>
        <b/>
        <vertAlign val="subscript"/>
        <sz val="11"/>
        <color theme="1"/>
        <rFont val="Calibri"/>
        <family val="2"/>
        <scheme val="minor"/>
      </rPr>
      <t>t</t>
    </r>
  </si>
  <si>
    <r>
      <rPr>
        <b/>
        <sz val="11"/>
        <color theme="1"/>
        <rFont val="Calibri"/>
        <family val="2"/>
      </rPr>
      <t>q</t>
    </r>
    <r>
      <rPr>
        <b/>
        <vertAlign val="subscript"/>
        <sz val="11"/>
        <color theme="1"/>
        <rFont val="Calibri"/>
        <family val="2"/>
      </rPr>
      <t>c</t>
    </r>
    <r>
      <rPr>
        <sz val="11"/>
        <color theme="1"/>
        <rFont val="Calibri"/>
        <family val="2"/>
      </rPr>
      <t>=1-p</t>
    </r>
    <r>
      <rPr>
        <vertAlign val="subscript"/>
        <sz val="11"/>
        <color theme="1"/>
        <rFont val="Calibri"/>
        <family val="2"/>
      </rPr>
      <t>c</t>
    </r>
  </si>
  <si>
    <r>
      <rPr>
        <b/>
        <sz val="11"/>
        <color theme="1"/>
        <rFont val="Calibri"/>
        <family val="2"/>
      </rPr>
      <t>q</t>
    </r>
    <r>
      <rPr>
        <b/>
        <vertAlign val="subscript"/>
        <sz val="11"/>
        <color theme="1"/>
        <rFont val="Calibri"/>
        <family val="2"/>
      </rPr>
      <t>t</t>
    </r>
    <r>
      <rPr>
        <sz val="11"/>
        <color theme="1"/>
        <rFont val="Calibri"/>
        <family val="2"/>
      </rPr>
      <t>=1-p</t>
    </r>
    <r>
      <rPr>
        <vertAlign val="subscript"/>
        <sz val="11"/>
        <color theme="1"/>
        <rFont val="Calibri"/>
        <family val="2"/>
      </rPr>
      <t>t</t>
    </r>
  </si>
  <si>
    <r>
      <rPr>
        <b/>
        <sz val="11"/>
        <color theme="1"/>
        <rFont val="Calibri"/>
        <family val="2"/>
      </rPr>
      <t>d</t>
    </r>
    <r>
      <rPr>
        <sz val="11"/>
        <color theme="1"/>
        <rFont val="Calibri"/>
        <family val="2"/>
      </rPr>
      <t>=p</t>
    </r>
    <r>
      <rPr>
        <vertAlign val="subscript"/>
        <sz val="11"/>
        <color theme="1"/>
        <rFont val="Calibri"/>
        <family val="2"/>
      </rPr>
      <t>c-</t>
    </r>
    <r>
      <rPr>
        <sz val="11"/>
        <color theme="1"/>
        <rFont val="Calibri"/>
        <family val="2"/>
      </rPr>
      <t>p</t>
    </r>
    <r>
      <rPr>
        <vertAlign val="subscript"/>
        <sz val="11"/>
        <color theme="1"/>
        <rFont val="Calibri"/>
        <family val="2"/>
      </rPr>
      <t>t</t>
    </r>
  </si>
  <si>
    <r>
      <rPr>
        <b/>
        <sz val="11"/>
        <color theme="1"/>
        <rFont val="Calibri"/>
        <family val="2"/>
        <scheme val="minor"/>
      </rPr>
      <t>p</t>
    </r>
    <r>
      <rPr>
        <b/>
        <vertAlign val="subscript"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>=(p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+p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)/2</t>
    </r>
  </si>
  <si>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>=1-p</t>
    </r>
    <r>
      <rPr>
        <vertAlign val="subscript"/>
        <sz val="11"/>
        <color theme="1"/>
        <rFont val="Calibri"/>
        <family val="2"/>
        <scheme val="minor"/>
      </rPr>
      <t>mean</t>
    </r>
  </si>
  <si>
    <r>
      <rPr>
        <b/>
        <sz val="11"/>
        <color theme="1"/>
        <rFont val="Calibri"/>
        <family val="2"/>
        <scheme val="minor"/>
      </rPr>
      <t>β</t>
    </r>
    <r>
      <rPr>
        <sz val="11"/>
        <color theme="1"/>
        <rFont val="Calibri"/>
        <family val="2"/>
        <scheme val="minor"/>
      </rPr>
      <t>=1-power</t>
    </r>
  </si>
  <si>
    <t>proportion of subjects having the event in the treatment group (percent in control group reduced by the treatment)</t>
  </si>
  <si>
    <t>proportion of subjects having the event in the control (placebo) group (per annum percent X number of years to study)</t>
  </si>
  <si>
    <t>Average proportion of events in control and treatment groups</t>
  </si>
  <si>
    <r>
      <rPr>
        <b/>
        <sz val="11"/>
        <color theme="1"/>
        <rFont val="Calibri"/>
        <family val="2"/>
      </rPr>
      <t>β=</t>
    </r>
    <r>
      <rPr>
        <b/>
        <sz val="11"/>
        <color theme="1"/>
        <rFont val="Calibri"/>
        <family val="2"/>
        <scheme val="minor"/>
      </rPr>
      <t>1-power</t>
    </r>
  </si>
  <si>
    <t>difference between means expected</t>
  </si>
  <si>
    <t>effect size</t>
  </si>
  <si>
    <r>
      <rPr>
        <b/>
        <sz val="14"/>
        <color rgb="FF7030A0"/>
        <rFont val="Calibri"/>
        <family val="2"/>
        <scheme val="minor"/>
      </rPr>
      <t>ARR</t>
    </r>
    <r>
      <rPr>
        <sz val="11"/>
        <color rgb="FF7030A0"/>
        <rFont val="Calibri"/>
        <family val="2"/>
        <scheme val="minor"/>
      </rPr>
      <t>, Difference of proportions between control and treatment groups</t>
    </r>
  </si>
  <si>
    <t>qt=qc-ARR (absolute value of ARR)</t>
  </si>
  <si>
    <t>qt=qc * RR (RR=pc/pt)</t>
  </si>
  <si>
    <t>Sample size</t>
  </si>
  <si>
    <t>1 - power, type 2 error rate, chance of obtaining false-negative result</t>
  </si>
  <si>
    <t>Difference (d)</t>
  </si>
  <si>
    <t>group 1 to group 2 ratio</t>
  </si>
  <si>
    <t>n group 1</t>
  </si>
  <si>
    <t>n group 2</t>
  </si>
  <si>
    <t>Drop-outs (%)</t>
  </si>
  <si>
    <t>Drop-ins (%)</t>
  </si>
  <si>
    <t>Loss to follow up (%)</t>
  </si>
  <si>
    <t>Factor in increase samples size for loss to follow up</t>
  </si>
  <si>
    <t>Factor to increase sample size for non-compliance</t>
  </si>
  <si>
    <t>Response rate (%)</t>
  </si>
  <si>
    <t>standard normal derivative for the type 1 error</t>
  </si>
  <si>
    <t>n per group</t>
  </si>
  <si>
    <t>Sample size required</t>
  </si>
  <si>
    <t>Total population available (N)</t>
  </si>
  <si>
    <t>Margin of error (e) (%)</t>
  </si>
  <si>
    <t>type 1 error rate</t>
  </si>
  <si>
    <t>Margin of error (e) achieved (%)</t>
  </si>
  <si>
    <t>95% CIs into SD</t>
  </si>
  <si>
    <t>mean</t>
  </si>
  <si>
    <t xml:space="preserve">  -95% CI</t>
  </si>
  <si>
    <t xml:space="preserve">  +95% CI</t>
  </si>
  <si>
    <t>n</t>
  </si>
  <si>
    <t xml:space="preserve"> +SD</t>
  </si>
  <si>
    <t xml:space="preserve"> -SD</t>
  </si>
  <si>
    <t>group 1</t>
  </si>
  <si>
    <t>group 2</t>
  </si>
  <si>
    <t>SDs</t>
  </si>
  <si>
    <t>group 3</t>
  </si>
  <si>
    <t>group 4</t>
  </si>
  <si>
    <t>How reliable we want the results to be?</t>
  </si>
  <si>
    <t>BEFORE COMMENCING THE SURVEY</t>
  </si>
  <si>
    <t>AFTER COLLECTING THE SURVEY</t>
  </si>
  <si>
    <t>1-beta</t>
  </si>
  <si>
    <t>INPUT</t>
  </si>
  <si>
    <t>RESULTS</t>
  </si>
  <si>
    <t>Questions/comments: Andrzej.Januszewski@sydney.edu.au</t>
  </si>
  <si>
    <t>Weighted SD</t>
  </si>
  <si>
    <t>Combined mean</t>
  </si>
  <si>
    <t>Mean NOT known</t>
  </si>
  <si>
    <t>Known mean</t>
  </si>
  <si>
    <t>Mean*</t>
  </si>
  <si>
    <t>* - if mean not known leave it blank</t>
  </si>
  <si>
    <t>Observed number of events</t>
  </si>
  <si>
    <t>Number of events in placebo group under H0</t>
  </si>
  <si>
    <t>Number of events in experimental group under H0</t>
  </si>
  <si>
    <t>Average SD (independent groups)</t>
  </si>
  <si>
    <t>correlation between measurements (r)</t>
  </si>
  <si>
    <t>Pooled SD</t>
  </si>
  <si>
    <t>Confidence level (%)</t>
  </si>
  <si>
    <t>Sample size without response rate</t>
  </si>
  <si>
    <t>Adjusted for expected response rate</t>
  </si>
  <si>
    <t>Response distribution (p) (%)</t>
  </si>
  <si>
    <t>group 1 (before)</t>
  </si>
  <si>
    <t>group 2 (after)</t>
  </si>
  <si>
    <t>Percentage of your surveyed population that picks a particular answer. 50% is a conservative value!</t>
  </si>
  <si>
    <t>Percentage of questionnaires returned (1-100%)</t>
  </si>
  <si>
    <t>Number or returned questionnaires</t>
  </si>
  <si>
    <t>How many questionnaires were actually returned?</t>
  </si>
  <si>
    <t>Adjusted for finite population. Required valid responses</t>
  </si>
  <si>
    <t>How much the opinions and behaviours of the population you survey is likely to deviate from the total population?</t>
  </si>
  <si>
    <t>Number of years we intend to carry the study for</t>
  </si>
  <si>
    <t>without loss to FUP or non-adherence correction!!!</t>
  </si>
  <si>
    <t>n (paired design)</t>
  </si>
  <si>
    <t>WITH correction to loss to FUP or non-adherence</t>
  </si>
  <si>
    <t>Study design</t>
  </si>
  <si>
    <t>unpaired</t>
  </si>
  <si>
    <t>paired</t>
  </si>
  <si>
    <t>ignored if paired design!</t>
  </si>
  <si>
    <t>Average SD</t>
  </si>
  <si>
    <t>&lt;- this is WRONG for dependent groups!!!</t>
  </si>
  <si>
    <t>SD of the difference</t>
  </si>
  <si>
    <t>Average SD (dependent groups / paired)</t>
  </si>
  <si>
    <t>Avergae SD formula assumes equal sample size in each grpoup and just averaging variances</t>
  </si>
  <si>
    <t>(not weighting by degrees of freedom)</t>
  </si>
  <si>
    <t>n per group (paired design)</t>
  </si>
  <si>
    <t>without loss to FUP or non-adherence correction!!! (another formula)</t>
  </si>
  <si>
    <t>Exect McNemar WITH correction to loss to FUP or non-adherence</t>
  </si>
  <si>
    <t>simplified version</t>
  </si>
  <si>
    <t>p</t>
  </si>
  <si>
    <t>1-p</t>
  </si>
  <si>
    <t>e</t>
  </si>
  <si>
    <t>Sample size infinite population size</t>
  </si>
  <si>
    <t>Sample size finite population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</si>
</sst>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0" borderId="0" xfId="0" applyFont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4" fillId="3" borderId="0" xfId="0" applyFont="1" applyFill="1" applyProtection="1">
      <protection hidden="1"/>
    </xf>
    <xf numFmtId="0" fontId="4" fillId="4" borderId="0" xfId="0" applyFont="1" applyFill="1" applyAlignment="1">
      <alignment horizontal="right"/>
    </xf>
    <xf numFmtId="0" fontId="2" fillId="4" borderId="0" xfId="0" applyFont="1" applyFill="1"/>
    <xf numFmtId="0" fontId="4" fillId="4" borderId="0" xfId="0" applyFont="1" applyFill="1" applyAlignment="1">
      <alignment horizontal="right" vertical="center"/>
    </xf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wrapText="1"/>
    </xf>
    <xf numFmtId="0" fontId="4" fillId="3" borderId="0" xfId="0" applyFont="1" applyFill="1" applyAlignment="1" applyProtection="1">
      <alignment vertical="center"/>
      <protection hidden="1"/>
    </xf>
    <xf numFmtId="164" fontId="4" fillId="3" borderId="0" xfId="0" applyNumberFormat="1" applyFont="1" applyFill="1" applyAlignment="1" applyProtection="1">
      <alignment vertical="center"/>
      <protection hidden="1"/>
    </xf>
    <xf numFmtId="0" fontId="1" fillId="4" borderId="0" xfId="0" applyFont="1" applyFill="1"/>
    <xf numFmtId="0" fontId="13" fillId="4" borderId="0" xfId="0" applyFont="1" applyFill="1" applyAlignment="1">
      <alignment horizontal="right"/>
    </xf>
    <xf numFmtId="0" fontId="7" fillId="4" borderId="0" xfId="0" applyFont="1" applyFill="1" applyAlignment="1">
      <alignment horizontal="right"/>
    </xf>
    <xf numFmtId="0" fontId="4" fillId="3" borderId="0" xfId="0" applyFont="1" applyFill="1"/>
    <xf numFmtId="0" fontId="4" fillId="2" borderId="0" xfId="0" applyFont="1" applyFill="1"/>
    <xf numFmtId="2" fontId="4" fillId="3" borderId="0" xfId="0" applyNumberFormat="1" applyFont="1" applyFill="1" applyProtection="1">
      <protection hidden="1"/>
    </xf>
    <xf numFmtId="2" fontId="4" fillId="0" borderId="0" xfId="0" applyNumberFormat="1" applyFont="1" applyProtection="1">
      <protection hidden="1"/>
    </xf>
    <xf numFmtId="2" fontId="4" fillId="4" borderId="0" xfId="0" applyNumberFormat="1" applyFont="1" applyFill="1" applyProtection="1">
      <protection hidden="1"/>
    </xf>
    <xf numFmtId="0" fontId="3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vertical="center"/>
      <protection locked="0"/>
    </xf>
    <xf numFmtId="165" fontId="4" fillId="3" borderId="0" xfId="0" applyNumberFormat="1" applyFont="1" applyFill="1"/>
    <xf numFmtId="0" fontId="0" fillId="0" borderId="0" xfId="0" applyAlignment="1">
      <alignment wrapText="1"/>
    </xf>
    <xf numFmtId="0" fontId="4" fillId="5" borderId="0" xfId="0" applyFont="1" applyFill="1" applyAlignment="1">
      <alignment horizontal="right"/>
    </xf>
    <xf numFmtId="0" fontId="4" fillId="5" borderId="0" xfId="0" applyFont="1" applyFill="1" applyAlignment="1">
      <alignment horizontal="right" vertical="center"/>
    </xf>
    <xf numFmtId="0" fontId="4" fillId="4" borderId="0" xfId="0" applyFont="1" applyFill="1" applyProtection="1">
      <protection hidden="1"/>
    </xf>
    <xf numFmtId="0" fontId="5" fillId="4" borderId="0" xfId="0" applyFont="1" applyFill="1" applyAlignment="1">
      <alignment vertical="center" wrapText="1"/>
    </xf>
    <xf numFmtId="0" fontId="0" fillId="4" borderId="0" xfId="0" applyFill="1" applyProtection="1">
      <protection hidden="1"/>
    </xf>
    <xf numFmtId="0" fontId="4" fillId="2" borderId="0" xfId="0" applyFont="1" applyFill="1" applyProtection="1">
      <protection hidden="1"/>
    </xf>
    <xf numFmtId="0" fontId="0" fillId="5" borderId="0" xfId="0" applyFill="1"/>
    <xf numFmtId="165" fontId="4" fillId="3" borderId="0" xfId="0" applyNumberFormat="1" applyFont="1" applyFill="1" applyProtection="1">
      <protection hidden="1"/>
    </xf>
    <xf numFmtId="0" fontId="4" fillId="3" borderId="1" xfId="0" applyFont="1" applyFill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vertical="center"/>
      <protection locked="0"/>
    </xf>
    <xf numFmtId="2" fontId="3" fillId="2" borderId="2" xfId="0" applyNumberFormat="1" applyFont="1" applyFill="1" applyBorder="1" applyAlignment="1" applyProtection="1">
      <alignment vertical="center"/>
      <protection locked="0"/>
    </xf>
    <xf numFmtId="0" fontId="5" fillId="4" borderId="2" xfId="0" applyFont="1" applyFill="1" applyBorder="1" applyAlignment="1">
      <alignment wrapText="1"/>
    </xf>
    <xf numFmtId="0" fontId="3" fillId="2" borderId="2" xfId="0" applyFont="1" applyFill="1" applyBorder="1" applyAlignment="1" applyProtection="1">
      <alignment vertical="center"/>
      <protection locked="0"/>
    </xf>
    <xf numFmtId="0" fontId="5" fillId="4" borderId="2" xfId="0" applyFont="1" applyFill="1" applyBorder="1"/>
    <xf numFmtId="0" fontId="0" fillId="2" borderId="2" xfId="0" applyFill="1" applyBorder="1" applyAlignment="1" applyProtection="1">
      <alignment vertical="center"/>
      <protection locked="0"/>
    </xf>
    <xf numFmtId="0" fontId="5" fillId="4" borderId="2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2" borderId="0" xfId="0" applyFont="1" applyFill="1" applyProtection="1">
      <protection locked="0"/>
    </xf>
    <xf numFmtId="0" fontId="14" fillId="4" borderId="0" xfId="0" applyFont="1" applyFill="1"/>
    <xf numFmtId="165" fontId="13" fillId="3" borderId="0" xfId="0" applyNumberFormat="1" applyFont="1" applyFill="1" applyProtection="1">
      <protection hidden="1"/>
    </xf>
    <xf numFmtId="0" fontId="0" fillId="0" borderId="0" xfId="0" applyProtection="1">
      <protection hidden="1"/>
    </xf>
    <xf numFmtId="0" fontId="4" fillId="0" borderId="0" xfId="0" applyFont="1" applyProtection="1">
      <protection hidden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left"/>
    </xf>
    <xf numFmtId="165" fontId="4" fillId="4" borderId="0" xfId="0" applyNumberFormat="1" applyFont="1" applyFill="1"/>
    <xf numFmtId="0" fontId="4" fillId="4" borderId="0" xfId="0" applyFont="1" applyFill="1"/>
    <xf numFmtId="0" fontId="14" fillId="4" borderId="0" xfId="0" applyFont="1" applyFill="1" applyProtection="1">
      <protection hidden="1"/>
    </xf>
    <xf numFmtId="0" fontId="13" fillId="4" borderId="0" xfId="0" applyFont="1" applyFill="1" applyAlignment="1" applyProtection="1">
      <alignment horizontal="right"/>
      <protection hidden="1"/>
    </xf>
    <xf numFmtId="0" fontId="4" fillId="4" borderId="0" xfId="0" applyFont="1" applyFill="1" applyAlignment="1" applyProtection="1">
      <alignment horizontal="right"/>
      <protection hidden="1"/>
    </xf>
    <xf numFmtId="0" fontId="5" fillId="4" borderId="1" xfId="0" applyFont="1" applyFill="1" applyBorder="1" applyAlignment="1" applyProtection="1">
      <alignment wrapText="1"/>
      <protection hidden="1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E38"/>
  <sheetViews>
    <sheetView zoomScaleNormal="100" workbookViewId="0"/>
  </sheetViews>
  <sheetFormatPr defaultColWidth="0" defaultRowHeight="15" zeroHeight="1" x14ac:dyDescent="0.25"/>
  <cols>
    <col min="1" max="1" width="31" bestFit="1" customWidth="1"/>
    <col min="2" max="2" width="13.28515625" bestFit="1" customWidth="1"/>
    <col min="3" max="5" width="8.85546875" customWidth="1"/>
    <col min="6" max="16384" width="8.85546875" hidden="1"/>
  </cols>
  <sheetData>
    <row r="1" spans="1:5" x14ac:dyDescent="0.25">
      <c r="A1" s="10"/>
      <c r="B1" s="10"/>
      <c r="C1" s="10"/>
      <c r="D1" s="10"/>
      <c r="E1" s="10"/>
    </row>
    <row r="2" spans="1:5" x14ac:dyDescent="0.25">
      <c r="A2" s="64" t="str">
        <f>IF(B9="unpaired","Mean (group 1)","Mean before / initial mean")</f>
        <v>Mean (group 1)</v>
      </c>
      <c r="B2" s="29">
        <v>8.6999999999999993</v>
      </c>
      <c r="C2" s="10"/>
      <c r="D2" s="10"/>
      <c r="E2" s="25" t="s">
        <v>64</v>
      </c>
    </row>
    <row r="3" spans="1:5" x14ac:dyDescent="0.25">
      <c r="A3" s="64" t="str">
        <f>IF(B9="unpaired","Mean (group 2)","Mean after / final mean")</f>
        <v>Mean (group 2)</v>
      </c>
      <c r="B3" s="29">
        <v>7.2</v>
      </c>
      <c r="C3" s="10"/>
      <c r="D3" s="10"/>
      <c r="E3" s="24" t="s">
        <v>65</v>
      </c>
    </row>
    <row r="4" spans="1:5" x14ac:dyDescent="0.25">
      <c r="A4" s="12" t="s">
        <v>4</v>
      </c>
      <c r="B4" s="29">
        <v>3</v>
      </c>
      <c r="C4" s="10"/>
      <c r="D4" s="10"/>
      <c r="E4" s="10"/>
    </row>
    <row r="5" spans="1:5" x14ac:dyDescent="0.25">
      <c r="A5" s="12" t="s">
        <v>0</v>
      </c>
      <c r="B5" s="30">
        <v>0.05</v>
      </c>
      <c r="C5" s="53" t="s">
        <v>46</v>
      </c>
      <c r="D5" s="10"/>
      <c r="E5" s="10"/>
    </row>
    <row r="6" spans="1:5" x14ac:dyDescent="0.25">
      <c r="A6" s="12" t="s">
        <v>8</v>
      </c>
      <c r="B6" s="30">
        <v>80</v>
      </c>
      <c r="C6" s="53" t="s">
        <v>63</v>
      </c>
      <c r="D6" s="10"/>
      <c r="E6" s="10"/>
    </row>
    <row r="7" spans="1:5" x14ac:dyDescent="0.25">
      <c r="A7" s="12" t="s">
        <v>6</v>
      </c>
      <c r="B7" s="29">
        <v>2</v>
      </c>
      <c r="C7" s="10"/>
      <c r="D7" s="10"/>
      <c r="E7" s="10"/>
    </row>
    <row r="8" spans="1:5" x14ac:dyDescent="0.25">
      <c r="A8" s="12" t="s">
        <v>32</v>
      </c>
      <c r="B8" s="30">
        <v>1</v>
      </c>
      <c r="C8" s="53" t="s">
        <v>98</v>
      </c>
      <c r="D8" s="10"/>
      <c r="E8" s="10"/>
    </row>
    <row r="9" spans="1:5" x14ac:dyDescent="0.25">
      <c r="A9" s="12" t="s">
        <v>95</v>
      </c>
      <c r="B9" s="30" t="s">
        <v>96</v>
      </c>
      <c r="C9" s="10"/>
      <c r="D9" s="10"/>
      <c r="E9" s="10"/>
    </row>
    <row r="10" spans="1:5" x14ac:dyDescent="0.25">
      <c r="A10" s="12" t="s">
        <v>35</v>
      </c>
      <c r="B10" s="30">
        <v>0</v>
      </c>
      <c r="C10" s="10"/>
      <c r="D10" s="10"/>
      <c r="E10" s="10"/>
    </row>
    <row r="11" spans="1:5" x14ac:dyDescent="0.25">
      <c r="A11" s="12" t="s">
        <v>36</v>
      </c>
      <c r="B11" s="30">
        <v>0</v>
      </c>
      <c r="C11" s="10"/>
      <c r="D11" s="10"/>
      <c r="E11" s="10"/>
    </row>
    <row r="12" spans="1:5" x14ac:dyDescent="0.25">
      <c r="A12" s="12" t="s">
        <v>37</v>
      </c>
      <c r="B12" s="30">
        <v>0</v>
      </c>
      <c r="C12" s="10"/>
      <c r="D12" s="10"/>
      <c r="E12" s="10"/>
    </row>
    <row r="13" spans="1:5" x14ac:dyDescent="0.25">
      <c r="A13" s="12" t="s">
        <v>33</v>
      </c>
      <c r="B13" s="11">
        <f>IFERROR(IF(B9="unpaired",ROUNDUP(B21,0),ROUNDUP(B22,0)),"???")</f>
        <v>63</v>
      </c>
      <c r="C13" s="10"/>
      <c r="D13" s="10"/>
      <c r="E13" s="10"/>
    </row>
    <row r="14" spans="1:5" x14ac:dyDescent="0.25">
      <c r="A14" s="12" t="s">
        <v>34</v>
      </c>
      <c r="B14" s="11">
        <f>IFERROR(IF(B9="paired","",ROUNDUP((B13*B8),0)),"???")</f>
        <v>63</v>
      </c>
      <c r="C14" s="10"/>
      <c r="D14" s="10"/>
      <c r="E14" s="10"/>
    </row>
    <row r="15" spans="1:5" x14ac:dyDescent="0.25">
      <c r="A15" s="12" t="s">
        <v>7</v>
      </c>
      <c r="B15" s="11">
        <f>IFERROR(IF(B9="paired",B13,B14+B13),"???")</f>
        <v>126</v>
      </c>
      <c r="C15" s="10"/>
      <c r="D15" s="10"/>
      <c r="E15" s="10"/>
    </row>
    <row r="16" spans="1:5" x14ac:dyDescent="0.25">
      <c r="A16" s="12" t="s">
        <v>25</v>
      </c>
      <c r="B16" s="26">
        <f>IFERROR((ABS(B2-B3))/B4,"???")</f>
        <v>0.49999999999999972</v>
      </c>
      <c r="C16" s="10"/>
      <c r="D16" s="10"/>
      <c r="E16" s="10"/>
    </row>
    <row r="17" spans="1:5" x14ac:dyDescent="0.25">
      <c r="A17" s="12"/>
      <c r="B17" s="27"/>
      <c r="C17" s="10"/>
      <c r="D17" s="10"/>
      <c r="E17" s="10"/>
    </row>
    <row r="18" spans="1:5" x14ac:dyDescent="0.25">
      <c r="A18" s="66" t="s">
        <v>66</v>
      </c>
      <c r="B18" s="66"/>
      <c r="C18" s="66"/>
      <c r="D18" s="66"/>
      <c r="E18" s="66"/>
    </row>
    <row r="20" spans="1:5" hidden="1" x14ac:dyDescent="0.25">
      <c r="A20" s="2" t="s">
        <v>5</v>
      </c>
      <c r="B20">
        <f>(2*(B24+B25)^2*B26)/B27^2</f>
        <v>62.791037874792778</v>
      </c>
      <c r="C20" s="1" t="s">
        <v>92</v>
      </c>
    </row>
    <row r="21" spans="1:5" hidden="1" x14ac:dyDescent="0.25">
      <c r="A21" s="2" t="s">
        <v>5</v>
      </c>
      <c r="B21">
        <f>ROUNDUP((((2*(B24+B25)^2*$B26/(ABS(B2-B3))^2)*2)*((B8+1)^2)/(4*B8))/(B8+1),0)*B28*B29</f>
        <v>63</v>
      </c>
      <c r="C21" s="1" t="s">
        <v>94</v>
      </c>
    </row>
    <row r="22" spans="1:5" hidden="1" x14ac:dyDescent="0.25">
      <c r="A22" s="2" t="s">
        <v>93</v>
      </c>
      <c r="B22">
        <f>ROUNDUP((((B24+B25)*B4)/B27)^2,0)*B28*B29</f>
        <v>32</v>
      </c>
      <c r="C22" s="1" t="s">
        <v>94</v>
      </c>
    </row>
    <row r="23" spans="1:5" hidden="1" x14ac:dyDescent="0.25">
      <c r="A23" s="2" t="s">
        <v>23</v>
      </c>
      <c r="B23">
        <f>1-(B6/100)</f>
        <v>0.19999999999999996</v>
      </c>
      <c r="C23" s="1" t="s">
        <v>30</v>
      </c>
    </row>
    <row r="24" spans="1:5" hidden="1" x14ac:dyDescent="0.25">
      <c r="A24" s="2" t="s">
        <v>2</v>
      </c>
      <c r="B24">
        <f>NORMSINV(1-B5/B7)</f>
        <v>1.9599639845400536</v>
      </c>
      <c r="C24" s="1" t="s">
        <v>10</v>
      </c>
    </row>
    <row r="25" spans="1:5" hidden="1" x14ac:dyDescent="0.25">
      <c r="A25" s="2" t="s">
        <v>3</v>
      </c>
      <c r="B25">
        <f>NORMSINV(1-B23)</f>
        <v>0.84162123357291474</v>
      </c>
      <c r="C25" s="1" t="s">
        <v>11</v>
      </c>
    </row>
    <row r="26" spans="1:5" hidden="1" x14ac:dyDescent="0.25">
      <c r="A26" s="2" t="s">
        <v>1</v>
      </c>
      <c r="B26">
        <f>B4^2</f>
        <v>9</v>
      </c>
      <c r="C26" s="1" t="s">
        <v>9</v>
      </c>
    </row>
    <row r="27" spans="1:5" hidden="1" x14ac:dyDescent="0.25">
      <c r="A27" s="2" t="s">
        <v>31</v>
      </c>
      <c r="B27">
        <f>ABS(B2-B3)</f>
        <v>1.4999999999999991</v>
      </c>
      <c r="C27" s="1" t="s">
        <v>24</v>
      </c>
    </row>
    <row r="28" spans="1:5" hidden="1" x14ac:dyDescent="0.25">
      <c r="B28">
        <f>1/((1-(B10/100)-(B11/100))^2)</f>
        <v>1</v>
      </c>
      <c r="C28" s="7" t="s">
        <v>39</v>
      </c>
    </row>
    <row r="29" spans="1:5" hidden="1" x14ac:dyDescent="0.25">
      <c r="B29" s="8">
        <f>100/(100-B12)</f>
        <v>1</v>
      </c>
      <c r="C29" s="7" t="s">
        <v>38</v>
      </c>
    </row>
    <row r="31" spans="1:5" hidden="1" x14ac:dyDescent="0.25">
      <c r="B31" t="s">
        <v>97</v>
      </c>
    </row>
    <row r="32" spans="1:5" hidden="1" x14ac:dyDescent="0.25">
      <c r="B32" t="s">
        <v>96</v>
      </c>
    </row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  <row r="37" customFormat="1" hidden="1" x14ac:dyDescent="0.25"/>
    <row r="38" customFormat="1" hidden="1" x14ac:dyDescent="0.25"/>
  </sheetData>
  <sheetProtection algorithmName="SHA-512" hashValue="sXc1dQXDHWb0Ayp0ZkM/pERU5FuG1Col45OcYCT9C2kfBC+eQblpN+bCxf9OvSwHW0UBLvonaC0PnwcNDabAxA==" saltValue="xVqpP54UVYzH8e3sQl+0Tg==" spinCount="100000" sheet="1" objects="1" scenarios="1"/>
  <mergeCells count="1">
    <mergeCell ref="A18:E18"/>
  </mergeCells>
  <dataValidations count="6">
    <dataValidation type="decimal" showInputMessage="1" showErrorMessage="1" sqref="B5" xr:uid="{6FEE219C-4614-44C1-B1F9-118D1DF4ED0D}">
      <formula1>0.00001</formula1>
      <formula2>0.99999</formula2>
    </dataValidation>
    <dataValidation type="decimal" showInputMessage="1" showErrorMessage="1" sqref="B6" xr:uid="{9CF3D0F5-C91D-4A78-9E43-CEA6850703D7}">
      <formula1>0.1</formula1>
      <formula2>99</formula2>
    </dataValidation>
    <dataValidation type="whole" showInputMessage="1" showErrorMessage="1" sqref="B7" xr:uid="{5CF2FF19-A5D0-4093-B0AC-07566EB57A91}">
      <formula1>1</formula1>
      <formula2>2</formula2>
    </dataValidation>
    <dataValidation type="decimal" operator="lessThanOrEqual" allowBlank="1" showInputMessage="1" showErrorMessage="1" sqref="B10:B12" xr:uid="{62297512-F527-43F3-9577-78FDF1AE83F8}">
      <formula1>99</formula1>
    </dataValidation>
    <dataValidation type="list" allowBlank="1" showInputMessage="1" showErrorMessage="1" sqref="B9" xr:uid="{38AC5D4C-8AA5-4F15-BEFD-D8ED9B7A6A45}">
      <formula1>$B$31:$B$32</formula1>
    </dataValidation>
    <dataValidation type="decimal" allowBlank="1" showInputMessage="1" showErrorMessage="1" sqref="B8" xr:uid="{ACAD69D9-673E-4BA0-9D61-4B84EB3AFB72}">
      <formula1>0.1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E50"/>
  <sheetViews>
    <sheetView tabSelected="1" zoomScaleNormal="100" workbookViewId="0"/>
  </sheetViews>
  <sheetFormatPr defaultColWidth="0" defaultRowHeight="15" zeroHeight="1" x14ac:dyDescent="0.25"/>
  <cols>
    <col min="1" max="1" width="56.28515625" bestFit="1" customWidth="1"/>
    <col min="2" max="2" width="13.85546875" customWidth="1"/>
    <col min="3" max="5" width="9.28515625" customWidth="1"/>
    <col min="6" max="16384" width="9.28515625" hidden="1"/>
  </cols>
  <sheetData>
    <row r="1" spans="1:5" ht="15" customHeight="1" x14ac:dyDescent="0.25">
      <c r="A1" s="10"/>
      <c r="B1" s="21"/>
      <c r="C1" s="10"/>
      <c r="D1" s="10"/>
      <c r="E1" s="10"/>
    </row>
    <row r="2" spans="1:5" ht="15" customHeight="1" x14ac:dyDescent="0.25">
      <c r="A2" s="63" t="str">
        <f>IF(B8="unpaired","Rate of event in NON-TREATED/placebo (group 1) (%)","Rate of improvement within the group (%)")</f>
        <v>Rate of event in NON-TREATED/placebo (group 1) (%)</v>
      </c>
      <c r="B2" s="30">
        <v>25</v>
      </c>
      <c r="C2" s="10"/>
      <c r="D2" s="10"/>
      <c r="E2" s="25" t="s">
        <v>64</v>
      </c>
    </row>
    <row r="3" spans="1:5" ht="15" customHeight="1" x14ac:dyDescent="0.25">
      <c r="A3" s="63" t="str">
        <f>IF(B8="unpaired","Rate of event in TREATED/experimental (group 2) (%)","Rate of worsened/not improved within the group (%)")</f>
        <v>Rate of event in TREATED/experimental (group 2) (%)</v>
      </c>
      <c r="B3" s="30">
        <v>14</v>
      </c>
      <c r="C3" s="15"/>
      <c r="D3" s="10"/>
      <c r="E3" s="24" t="s">
        <v>65</v>
      </c>
    </row>
    <row r="4" spans="1:5" ht="15" customHeight="1" x14ac:dyDescent="0.25">
      <c r="A4" s="23" t="s">
        <v>0</v>
      </c>
      <c r="B4" s="30">
        <v>0.05</v>
      </c>
      <c r="C4" s="53" t="s">
        <v>46</v>
      </c>
      <c r="D4" s="10"/>
      <c r="E4" s="10"/>
    </row>
    <row r="5" spans="1:5" ht="15" customHeight="1" x14ac:dyDescent="0.25">
      <c r="A5" s="23" t="s">
        <v>8</v>
      </c>
      <c r="B5" s="30">
        <v>80</v>
      </c>
      <c r="C5" s="53" t="s">
        <v>63</v>
      </c>
      <c r="D5" s="10"/>
      <c r="E5" s="10"/>
    </row>
    <row r="6" spans="1:5" ht="15" customHeight="1" x14ac:dyDescent="0.25">
      <c r="A6" s="12" t="s">
        <v>6</v>
      </c>
      <c r="B6" s="30">
        <v>2</v>
      </c>
      <c r="C6" s="15"/>
      <c r="D6" s="10"/>
      <c r="E6" s="10"/>
    </row>
    <row r="7" spans="1:5" ht="15" customHeight="1" x14ac:dyDescent="0.25">
      <c r="A7" s="12" t="s">
        <v>32</v>
      </c>
      <c r="B7" s="30">
        <v>1</v>
      </c>
      <c r="C7" s="53" t="s">
        <v>98</v>
      </c>
      <c r="D7" s="10"/>
      <c r="E7" s="10"/>
    </row>
    <row r="8" spans="1:5" ht="15" customHeight="1" x14ac:dyDescent="0.25">
      <c r="A8" s="12" t="s">
        <v>95</v>
      </c>
      <c r="B8" s="30" t="s">
        <v>96</v>
      </c>
      <c r="D8" s="10"/>
      <c r="E8" s="10"/>
    </row>
    <row r="9" spans="1:5" ht="15" customHeight="1" x14ac:dyDescent="0.25">
      <c r="A9" s="12" t="s">
        <v>35</v>
      </c>
      <c r="B9" s="30">
        <v>6</v>
      </c>
      <c r="C9" s="15"/>
      <c r="D9" s="10"/>
      <c r="E9" s="10"/>
    </row>
    <row r="10" spans="1:5" ht="15" customHeight="1" x14ac:dyDescent="0.25">
      <c r="A10" s="12" t="s">
        <v>36</v>
      </c>
      <c r="B10" s="30">
        <v>0</v>
      </c>
      <c r="C10" s="15"/>
      <c r="D10" s="10"/>
      <c r="E10" s="10"/>
    </row>
    <row r="11" spans="1:5" ht="15" customHeight="1" x14ac:dyDescent="0.25">
      <c r="A11" s="12" t="s">
        <v>37</v>
      </c>
      <c r="B11" s="30">
        <v>0</v>
      </c>
      <c r="C11" s="10"/>
      <c r="D11" s="10"/>
      <c r="E11" s="10"/>
    </row>
    <row r="12" spans="1:5" ht="15" customHeight="1" x14ac:dyDescent="0.25">
      <c r="A12" s="12" t="s">
        <v>33</v>
      </c>
      <c r="B12" s="11">
        <f>IFERROR(IF(B8="unpaired",ROUNDUP(B25,0),ROUNDUP(B27,0)),"???")</f>
        <v>227</v>
      </c>
      <c r="C12" s="10"/>
      <c r="D12" s="10"/>
      <c r="E12" s="10"/>
    </row>
    <row r="13" spans="1:5" ht="15" customHeight="1" x14ac:dyDescent="0.25">
      <c r="A13" s="12" t="s">
        <v>34</v>
      </c>
      <c r="B13" s="11">
        <f>IFERROR(IF(B8="paired","",ROUNDUP((B12*B7),0)),"???")</f>
        <v>227</v>
      </c>
      <c r="C13" s="10"/>
      <c r="D13" s="10"/>
      <c r="E13" s="10"/>
    </row>
    <row r="14" spans="1:5" ht="15" customHeight="1" x14ac:dyDescent="0.25">
      <c r="A14" s="12" t="s">
        <v>7</v>
      </c>
      <c r="B14" s="11">
        <f>IFERROR(IF(B8="paired",B12,B12+B13),"???")</f>
        <v>454</v>
      </c>
      <c r="C14" s="10"/>
      <c r="D14" s="10"/>
      <c r="E14" s="10"/>
    </row>
    <row r="15" spans="1:5" ht="15" customHeight="1" x14ac:dyDescent="0.25">
      <c r="A15" s="63" t="str">
        <f>IF(B8="paired","","Relative risk of event in treated group vs. placebo (%)")</f>
        <v>Relative risk of event in treated group vs. placebo (%)</v>
      </c>
      <c r="B15" s="26">
        <f>IF(B8="paired","",B32/B31*100)</f>
        <v>56.000000000000007</v>
      </c>
      <c r="C15" s="62" t="str" cm="1">
        <f t="array" ref="C15">IF(B8="paired","",_xlfn.IFS(B15=100,"same risk in both groups???",B15&lt;100,CONCATENATE("i.e. ",ROUND(100-B15,2),"% risk reduction"),B15&gt;100,CONCATENATE("i.e. ",ROUND(-1*(100-B15),2),"% risk increase")))</f>
        <v>i.e. 44% risk reduction</v>
      </c>
      <c r="D15" s="10"/>
      <c r="E15" s="10"/>
    </row>
    <row r="16" spans="1:5" ht="15" customHeight="1" x14ac:dyDescent="0.25">
      <c r="A16" s="63" t="str">
        <f>IF(B8="paired","Paired odds ratio - before vs after", "Odds ratio treated group vs. placebo")</f>
        <v>Odds ratio treated group vs. placebo</v>
      </c>
      <c r="B16" s="26">
        <f>IFERROR(IF(B8="paired",B31/B32,(B3/100/(1-B3/100))/(B2/100/(1-B2/100))),"???")</f>
        <v>0.48837209302325585</v>
      </c>
      <c r="C16" s="62" t="str">
        <f>IF(B8="paired","The odds of improving vs. not","")</f>
        <v/>
      </c>
      <c r="D16" s="10"/>
      <c r="E16" s="10"/>
    </row>
    <row r="17" spans="1:5" ht="15" customHeight="1" x14ac:dyDescent="0.25">
      <c r="A17" s="22"/>
      <c r="B17" s="28"/>
      <c r="C17" s="36"/>
      <c r="D17" s="10"/>
      <c r="E17" s="10"/>
    </row>
    <row r="18" spans="1:5" ht="15" customHeight="1" x14ac:dyDescent="0.25">
      <c r="A18" s="22" t="s">
        <v>73</v>
      </c>
      <c r="B18" s="52"/>
      <c r="C18" s="36"/>
      <c r="D18" s="10"/>
      <c r="E18" s="10"/>
    </row>
    <row r="19" spans="1:5" ht="15" customHeight="1" x14ac:dyDescent="0.25">
      <c r="A19" s="22" t="s">
        <v>74</v>
      </c>
      <c r="B19" s="11">
        <f>IF(B8="paired","",ROUND(B18/((B15+100)/100),0))</f>
        <v>0</v>
      </c>
      <c r="C19" s="36"/>
      <c r="D19" s="10"/>
      <c r="E19" s="10"/>
    </row>
    <row r="20" spans="1:5" ht="15" customHeight="1" x14ac:dyDescent="0.25">
      <c r="A20" s="22" t="s">
        <v>75</v>
      </c>
      <c r="B20" s="11">
        <f>IF(B8="paired","",B18-B19)</f>
        <v>0</v>
      </c>
      <c r="C20" s="36"/>
      <c r="D20" s="10"/>
      <c r="E20" s="10"/>
    </row>
    <row r="21" spans="1:5" ht="15" customHeight="1" x14ac:dyDescent="0.25">
      <c r="A21" s="22"/>
      <c r="B21" s="28"/>
      <c r="C21" s="10"/>
      <c r="D21" s="10"/>
      <c r="E21" s="10"/>
    </row>
    <row r="22" spans="1:5" ht="15" customHeight="1" x14ac:dyDescent="0.25">
      <c r="A22" s="66" t="s">
        <v>66</v>
      </c>
      <c r="B22" s="66"/>
      <c r="C22" s="66"/>
      <c r="D22" s="66"/>
      <c r="E22" s="66"/>
    </row>
    <row r="23" spans="1:5" ht="15" hidden="1" customHeight="1" x14ac:dyDescent="0.25"/>
    <row r="24" spans="1:5" ht="15" hidden="1" customHeight="1" x14ac:dyDescent="0.25">
      <c r="A24" s="3" t="s">
        <v>42</v>
      </c>
      <c r="B24">
        <f>((B31*B33+B32*B34)*(B29+B30)^2)/(B35^2)</f>
        <v>199.72479919058551</v>
      </c>
      <c r="C24" s="1" t="s">
        <v>92</v>
      </c>
    </row>
    <row r="25" spans="1:5" ht="15" hidden="1" customHeight="1" x14ac:dyDescent="0.25">
      <c r="A25" s="3" t="s">
        <v>42</v>
      </c>
      <c r="B25">
        <f>ROUNDUP(((B24*2)*((B7+1)^2)/(4*B7))/(B7+1),0)*B39*B40</f>
        <v>226.34676324128566</v>
      </c>
      <c r="C25" s="1" t="s">
        <v>94</v>
      </c>
    </row>
    <row r="26" spans="1:5" ht="15" hidden="1" customHeight="1" x14ac:dyDescent="0.25">
      <c r="A26" s="3" t="s">
        <v>105</v>
      </c>
      <c r="B26">
        <f>ROUNDUP(((B29+B30)/SQRT(B31+B32))^2*((B31+B32)/((B31-B32)^2)),0)*B39*B40</f>
        <v>734.49524671797201</v>
      </c>
      <c r="C26" s="1" t="s">
        <v>107</v>
      </c>
    </row>
    <row r="27" spans="1:5" ht="15" hidden="1" customHeight="1" x14ac:dyDescent="0.25">
      <c r="A27" s="3" t="s">
        <v>105</v>
      </c>
      <c r="B27">
        <f>ROUNDUP((((B29+B30)^2*(B31+B32))/B35^2),0)*B39*B40</f>
        <v>286.32865550022638</v>
      </c>
      <c r="C27" s="1" t="s">
        <v>108</v>
      </c>
    </row>
    <row r="28" spans="1:5" ht="15" hidden="1" customHeight="1" x14ac:dyDescent="0.25">
      <c r="A28" s="5" t="s">
        <v>19</v>
      </c>
      <c r="B28">
        <f>1-(B5/100)</f>
        <v>0.19999999999999996</v>
      </c>
      <c r="C28" s="1" t="s">
        <v>30</v>
      </c>
    </row>
    <row r="29" spans="1:5" ht="15" hidden="1" customHeight="1" x14ac:dyDescent="0.25">
      <c r="A29" s="2" t="s">
        <v>2</v>
      </c>
      <c r="B29">
        <f>NORMSINV(1-B4/B6)</f>
        <v>1.9599639845400536</v>
      </c>
      <c r="C29" s="1" t="s">
        <v>10</v>
      </c>
    </row>
    <row r="30" spans="1:5" ht="15" hidden="1" customHeight="1" x14ac:dyDescent="0.25">
      <c r="A30" s="2" t="s">
        <v>3</v>
      </c>
      <c r="B30">
        <f>NORMSINV(1-B28)</f>
        <v>0.84162123357291474</v>
      </c>
      <c r="C30" s="1" t="s">
        <v>11</v>
      </c>
    </row>
    <row r="31" spans="1:5" ht="15" hidden="1" customHeight="1" x14ac:dyDescent="0.35">
      <c r="A31" s="2" t="s">
        <v>12</v>
      </c>
      <c r="B31">
        <f>(B38*B2)/100</f>
        <v>0.25</v>
      </c>
      <c r="C31" s="1" t="s">
        <v>21</v>
      </c>
    </row>
    <row r="32" spans="1:5" ht="15" hidden="1" customHeight="1" x14ac:dyDescent="0.35">
      <c r="A32" s="2" t="s">
        <v>13</v>
      </c>
      <c r="B32">
        <f>(B38*B3)/100</f>
        <v>0.14000000000000001</v>
      </c>
      <c r="C32" s="1" t="s">
        <v>20</v>
      </c>
    </row>
    <row r="33" spans="1:3" ht="15" hidden="1" customHeight="1" x14ac:dyDescent="0.35">
      <c r="A33" s="4" t="s">
        <v>14</v>
      </c>
      <c r="B33">
        <f>1-B31</f>
        <v>0.75</v>
      </c>
      <c r="C33" s="1"/>
    </row>
    <row r="34" spans="1:3" ht="15" hidden="1" customHeight="1" x14ac:dyDescent="0.35">
      <c r="A34" s="4" t="s">
        <v>15</v>
      </c>
      <c r="B34">
        <f>1-B32</f>
        <v>0.86</v>
      </c>
      <c r="C34" s="1"/>
    </row>
    <row r="35" spans="1:3" ht="15" hidden="1" customHeight="1" x14ac:dyDescent="0.35">
      <c r="A35" s="4" t="s">
        <v>16</v>
      </c>
      <c r="B35" s="6">
        <f>B31-B32</f>
        <v>0.10999999999999999</v>
      </c>
      <c r="C35" s="1" t="s">
        <v>26</v>
      </c>
    </row>
    <row r="36" spans="1:3" ht="15" hidden="1" customHeight="1" x14ac:dyDescent="0.35">
      <c r="A36" s="5" t="s">
        <v>17</v>
      </c>
      <c r="B36">
        <f>(B31+B32)/2</f>
        <v>0.19500000000000001</v>
      </c>
      <c r="C36" s="1" t="s">
        <v>22</v>
      </c>
    </row>
    <row r="37" spans="1:3" ht="15" hidden="1" customHeight="1" x14ac:dyDescent="0.35">
      <c r="A37" s="5" t="s">
        <v>18</v>
      </c>
      <c r="B37">
        <f>1-B36</f>
        <v>0.80499999999999994</v>
      </c>
      <c r="C37" s="1"/>
    </row>
    <row r="38" spans="1:3" ht="15" hidden="1" customHeight="1" x14ac:dyDescent="0.25">
      <c r="B38">
        <v>1</v>
      </c>
      <c r="C38" s="7" t="s">
        <v>91</v>
      </c>
    </row>
    <row r="39" spans="1:3" ht="15" hidden="1" customHeight="1" x14ac:dyDescent="0.25">
      <c r="A39" s="2"/>
      <c r="B39">
        <f>1/((1-(B9/100)-(B10/100))^2)</f>
        <v>1.1317338162064283</v>
      </c>
      <c r="C39" s="7" t="s">
        <v>39</v>
      </c>
    </row>
    <row r="40" spans="1:3" ht="15" hidden="1" customHeight="1" x14ac:dyDescent="0.25">
      <c r="B40" s="9">
        <f>100/(100-B11)</f>
        <v>1</v>
      </c>
      <c r="C40" s="7" t="s">
        <v>38</v>
      </c>
    </row>
    <row r="41" spans="1:3" ht="15" hidden="1" customHeight="1" x14ac:dyDescent="0.25">
      <c r="A41" s="2"/>
      <c r="C41" s="1"/>
    </row>
    <row r="42" spans="1:3" ht="15" hidden="1" customHeight="1" x14ac:dyDescent="0.25">
      <c r="A42" s="2"/>
    </row>
    <row r="44" spans="1:3" hidden="1" x14ac:dyDescent="0.25">
      <c r="B44" t="s">
        <v>27</v>
      </c>
      <c r="C44" s="1"/>
    </row>
    <row r="45" spans="1:3" hidden="1" x14ac:dyDescent="0.25">
      <c r="B45" t="s">
        <v>28</v>
      </c>
    </row>
    <row r="47" spans="1:3" hidden="1" x14ac:dyDescent="0.25">
      <c r="B47" t="s">
        <v>97</v>
      </c>
    </row>
    <row r="48" spans="1:3" hidden="1" x14ac:dyDescent="0.25">
      <c r="B48" t="s">
        <v>96</v>
      </c>
    </row>
    <row r="50" spans="2:3" hidden="1" x14ac:dyDescent="0.25">
      <c r="B50">
        <f>((B29+B30)^2*(B31*B33+B32*B34))/(B35^2)</f>
        <v>199.72479919058551</v>
      </c>
      <c r="C50" s="1" t="s">
        <v>106</v>
      </c>
    </row>
  </sheetData>
  <sheetProtection algorithmName="SHA-512" hashValue="wbhX7MByTI/ZKN/xKaSkQfFq5MR/Z0CC9InMAcZMAZ63ddK86wPBuVSz1xAPZEgtl5rtK+CZLX4brcGP4gEe5A==" saltValue="W484NAtW8nOCGeST8N0A4w==" spinCount="100000" sheet="1" objects="1" scenarios="1"/>
  <mergeCells count="1">
    <mergeCell ref="A22:E22"/>
  </mergeCells>
  <dataValidations count="5">
    <dataValidation type="decimal" showInputMessage="1" showErrorMessage="1" sqref="B4" xr:uid="{686385FF-8BE9-45CD-8977-660BFE8121E7}">
      <formula1>0.00001</formula1>
      <formula2>0.99999</formula2>
    </dataValidation>
    <dataValidation type="decimal" showInputMessage="1" showErrorMessage="1" sqref="B5" xr:uid="{6464586C-CCE6-4736-B4C2-D030801D3100}">
      <formula1>0.1</formula1>
      <formula2>99</formula2>
    </dataValidation>
    <dataValidation type="decimal" operator="lessThanOrEqual" showInputMessage="1" showErrorMessage="1" sqref="B9:B11" xr:uid="{80709A3F-185B-49D6-B4F2-0D5C38ED2BE4}">
      <formula1>99</formula1>
    </dataValidation>
    <dataValidation type="whole" showInputMessage="1" showErrorMessage="1" sqref="B6" xr:uid="{D6C5A6C1-C5E1-4E57-994A-5C85D5DFCB0F}">
      <formula1>1</formula1>
      <formula2>2</formula2>
    </dataValidation>
    <dataValidation type="list" allowBlank="1" showInputMessage="1" showErrorMessage="1" sqref="B8" xr:uid="{B45E2204-0A2E-4681-A0F8-D62CF6E316CE}">
      <formula1>$B$47:$B$48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I29"/>
  <sheetViews>
    <sheetView zoomScaleNormal="100" workbookViewId="0"/>
  </sheetViews>
  <sheetFormatPr defaultColWidth="0" defaultRowHeight="15" zeroHeight="1" x14ac:dyDescent="0.25"/>
  <cols>
    <col min="1" max="1" width="55.42578125" bestFit="1" customWidth="1"/>
    <col min="2" max="2" width="11" customWidth="1"/>
    <col min="3" max="3" width="44.5703125" customWidth="1"/>
    <col min="4" max="4" width="8.85546875" customWidth="1"/>
    <col min="5" max="9" width="0" hidden="1" customWidth="1"/>
    <col min="10" max="16384" width="8.85546875" hidden="1"/>
  </cols>
  <sheetData>
    <row r="1" spans="1:7" s="10" customFormat="1" x14ac:dyDescent="0.25">
      <c r="D1" s="38"/>
    </row>
    <row r="2" spans="1:7" x14ac:dyDescent="0.25">
      <c r="A2" s="34" t="s">
        <v>61</v>
      </c>
      <c r="B2" s="13"/>
      <c r="C2" s="10"/>
      <c r="D2" s="39" t="s">
        <v>64</v>
      </c>
    </row>
    <row r="3" spans="1:7" s="51" customFormat="1" x14ac:dyDescent="0.25">
      <c r="A3" s="14" t="s">
        <v>79</v>
      </c>
      <c r="B3" s="43">
        <v>95</v>
      </c>
      <c r="C3" s="50" t="s">
        <v>60</v>
      </c>
      <c r="D3" s="19" t="s">
        <v>65</v>
      </c>
    </row>
    <row r="4" spans="1:7" ht="45" x14ac:dyDescent="0.25">
      <c r="A4" s="14" t="s">
        <v>45</v>
      </c>
      <c r="B4" s="44">
        <v>2</v>
      </c>
      <c r="C4" s="45" t="s">
        <v>90</v>
      </c>
      <c r="D4" s="38"/>
    </row>
    <row r="5" spans="1:7" x14ac:dyDescent="0.25">
      <c r="A5" s="14" t="s">
        <v>44</v>
      </c>
      <c r="B5" s="46">
        <v>500</v>
      </c>
      <c r="C5" s="47"/>
      <c r="D5" s="38"/>
    </row>
    <row r="6" spans="1:7" ht="30" customHeight="1" x14ac:dyDescent="0.25">
      <c r="A6" s="14" t="s">
        <v>82</v>
      </c>
      <c r="B6" s="48">
        <v>50</v>
      </c>
      <c r="C6" s="49" t="s">
        <v>85</v>
      </c>
      <c r="D6" s="38"/>
    </row>
    <row r="7" spans="1:7" x14ac:dyDescent="0.25">
      <c r="A7" s="14" t="s">
        <v>40</v>
      </c>
      <c r="B7" s="48">
        <v>20</v>
      </c>
      <c r="C7" s="45" t="s">
        <v>86</v>
      </c>
      <c r="D7" s="38"/>
    </row>
    <row r="8" spans="1:7" ht="45" x14ac:dyDescent="0.25">
      <c r="A8" s="14" t="s">
        <v>43</v>
      </c>
      <c r="B8" s="42">
        <f>IFERROR(ROUNDUP(B17/(B7/100),0),"???")</f>
        <v>2070</v>
      </c>
      <c r="C8" s="65" t="str">
        <f>CONCATENATE("Taking the surveyed population size and response rate into consideration, i.e. ",B8*B7/100," responses needs to be received")</f>
        <v>Taking the surveyed population size and response rate into consideration, i.e. 414 responses needs to be received</v>
      </c>
      <c r="D8" s="38"/>
    </row>
    <row r="9" spans="1:7" x14ac:dyDescent="0.25">
      <c r="A9" s="14"/>
      <c r="B9" s="17"/>
      <c r="C9" s="16"/>
      <c r="D9" s="38"/>
    </row>
    <row r="10" spans="1:7" x14ac:dyDescent="0.25">
      <c r="A10" s="35" t="s">
        <v>62</v>
      </c>
      <c r="B10" s="17"/>
      <c r="C10" s="18"/>
      <c r="D10" s="38"/>
    </row>
    <row r="11" spans="1:7" ht="15" customHeight="1" x14ac:dyDescent="0.25">
      <c r="A11" s="14" t="s">
        <v>87</v>
      </c>
      <c r="B11" s="31">
        <v>414</v>
      </c>
      <c r="C11" s="37" t="s">
        <v>88</v>
      </c>
      <c r="D11" s="38"/>
      <c r="F11" s="2"/>
      <c r="G11" s="6"/>
    </row>
    <row r="12" spans="1:7" x14ac:dyDescent="0.25">
      <c r="A12" s="14" t="s">
        <v>47</v>
      </c>
      <c r="B12" s="20">
        <f>IF(B11&gt;=B5, 0, B18 * SQRT((B6/100)*(1-(B6/100))/B11) * SQRT((B5 - B11)/(B5 - 1)) * 100)</f>
        <v>1.9994791399265233</v>
      </c>
      <c r="C12" s="18"/>
      <c r="D12" s="38"/>
    </row>
    <row r="13" spans="1:7" x14ac:dyDescent="0.25">
      <c r="A13" s="10"/>
      <c r="B13" s="10"/>
      <c r="C13" s="10"/>
      <c r="D13" s="38"/>
    </row>
    <row r="14" spans="1:7" x14ac:dyDescent="0.25">
      <c r="A14" s="66" t="s">
        <v>66</v>
      </c>
      <c r="B14" s="66"/>
      <c r="C14" s="66"/>
      <c r="D14" s="66"/>
      <c r="E14" s="66"/>
    </row>
    <row r="16" spans="1:7" hidden="1" x14ac:dyDescent="0.25">
      <c r="A16" s="2" t="s">
        <v>29</v>
      </c>
      <c r="B16">
        <f>ROUNDUP(((B6/100)*(1-(B6/100)))/(((B4/100)/B18)^2),0)</f>
        <v>2401</v>
      </c>
      <c r="C16" s="1" t="s">
        <v>112</v>
      </c>
    </row>
    <row r="17" spans="1:3" hidden="1" x14ac:dyDescent="0.25">
      <c r="A17" s="2" t="s">
        <v>29</v>
      </c>
      <c r="B17">
        <f>ROUNDUP((B16*B5)/(B16+(B5-1)),0)</f>
        <v>414</v>
      </c>
      <c r="C17" s="1" t="s">
        <v>113</v>
      </c>
    </row>
    <row r="18" spans="1:3" hidden="1" x14ac:dyDescent="0.25">
      <c r="A18" s="2" t="s">
        <v>2</v>
      </c>
      <c r="B18">
        <f>NORMSINV(1-(1-(B3/100))/2)</f>
        <v>1.9599639845400536</v>
      </c>
      <c r="C18" s="1" t="s">
        <v>41</v>
      </c>
    </row>
    <row r="19" spans="1:3" hidden="1" x14ac:dyDescent="0.25">
      <c r="B19" s="9">
        <f>100/(100-(100-B7))</f>
        <v>5</v>
      </c>
      <c r="C19" s="7" t="s">
        <v>38</v>
      </c>
    </row>
    <row r="20" spans="1:3" hidden="1" x14ac:dyDescent="0.25">
      <c r="B20">
        <f>B6/100</f>
        <v>0.5</v>
      </c>
      <c r="C20" s="1" t="s">
        <v>109</v>
      </c>
    </row>
    <row r="21" spans="1:3" hidden="1" x14ac:dyDescent="0.25">
      <c r="B21">
        <f>1-B20</f>
        <v>0.5</v>
      </c>
      <c r="C21" s="1" t="s">
        <v>110</v>
      </c>
    </row>
    <row r="22" spans="1:3" hidden="1" x14ac:dyDescent="0.25">
      <c r="B22">
        <f>B4/100</f>
        <v>0.02</v>
      </c>
      <c r="C22" s="1" t="s">
        <v>111</v>
      </c>
    </row>
    <row r="24" spans="1:3" hidden="1" x14ac:dyDescent="0.25">
      <c r="B24">
        <f>ROUNDUP((B18^2*B20*(1-B20))/(B22^2),0)</f>
        <v>2401</v>
      </c>
      <c r="C24" s="1" t="s">
        <v>80</v>
      </c>
    </row>
    <row r="25" spans="1:3" hidden="1" x14ac:dyDescent="0.25">
      <c r="B25">
        <f>ROUNDUP(B24/(1+((B24-1)/B5)),0)</f>
        <v>414</v>
      </c>
      <c r="C25" s="1" t="s">
        <v>89</v>
      </c>
    </row>
    <row r="26" spans="1:3" hidden="1" x14ac:dyDescent="0.25">
      <c r="B26">
        <f>B17/(B7/100)</f>
        <v>2070</v>
      </c>
      <c r="C26" s="1" t="s">
        <v>81</v>
      </c>
    </row>
    <row r="28" spans="1:3" hidden="1" x14ac:dyDescent="0.25">
      <c r="C28" s="1"/>
    </row>
    <row r="29" spans="1:3" hidden="1" x14ac:dyDescent="0.25">
      <c r="C29" s="1"/>
    </row>
  </sheetData>
  <sheetProtection algorithmName="SHA-512" hashValue="rHJH1loR0IrzD3FpWYX/+e+TudIpJKqQdFTWTzg+2FDuplb6IZe2ZZZiH27+Ifk5T8+BT4Syw75wNNYBPV1XYg==" saltValue="WyjcOJIaHKHLBtRiA7PEfA==" spinCount="100000" sheet="1" objects="1" scenarios="1"/>
  <mergeCells count="1">
    <mergeCell ref="A14:E14"/>
  </mergeCells>
  <dataValidations count="6">
    <dataValidation type="whole" showInputMessage="1" showErrorMessage="1" sqref="B3" xr:uid="{48AA52A4-717B-42BD-AA14-CFA0F2367D9D}">
      <formula1>1</formula1>
      <formula2>99</formula2>
    </dataValidation>
    <dataValidation type="decimal" showInputMessage="1" showErrorMessage="1" sqref="B7" xr:uid="{2BEC5256-7833-4C2A-A407-1A5A3699E074}">
      <formula1>1</formula1>
      <formula2>100</formula2>
    </dataValidation>
    <dataValidation type="whole" operator="greaterThan" showInputMessage="1" showErrorMessage="1" sqref="B5" xr:uid="{930530B6-EED1-403B-9112-873E283A853C}">
      <formula1>1</formula1>
    </dataValidation>
    <dataValidation type="whole" operator="greaterThan" allowBlank="1" showInputMessage="1" showErrorMessage="1" sqref="B11" xr:uid="{EA32A7AF-DF84-4BE2-8FFA-754D0FEA60FE}">
      <formula1>1</formula1>
    </dataValidation>
    <dataValidation type="decimal" showInputMessage="1" showErrorMessage="1" sqref="B6" xr:uid="{8F5EE2E5-3FCC-470E-B79D-65C0F1231F7D}">
      <formula1>1</formula1>
      <formula2>99</formula2>
    </dataValidation>
    <dataValidation type="decimal" showInputMessage="1" showErrorMessage="1" sqref="B4" xr:uid="{9CFBF517-F9A4-4377-9463-584CE32E0FE1}">
      <formula1>0.01</formula1>
      <formula2>99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53A2-FD73-48BE-9757-BBBADFE6F70A}">
  <sheetPr codeName="Sheet4"/>
  <dimension ref="A1:Q30"/>
  <sheetViews>
    <sheetView zoomScaleNormal="100" workbookViewId="0"/>
  </sheetViews>
  <sheetFormatPr defaultColWidth="0" defaultRowHeight="15" zeroHeight="1" x14ac:dyDescent="0.25"/>
  <cols>
    <col min="1" max="1" width="8.85546875" customWidth="1"/>
    <col min="2" max="2" width="12" bestFit="1" customWidth="1"/>
    <col min="3" max="5" width="8.85546875" customWidth="1"/>
    <col min="6" max="6" width="10" bestFit="1" customWidth="1"/>
    <col min="7" max="7" width="8.85546875" customWidth="1"/>
    <col min="8" max="8" width="10.28515625" customWidth="1"/>
    <col min="9" max="9" width="10.85546875" customWidth="1"/>
    <col min="10" max="10" width="8.85546875" hidden="1" customWidth="1"/>
    <col min="11" max="16384" width="8.85546875" hidden="1"/>
  </cols>
  <sheetData>
    <row r="1" spans="1:17" x14ac:dyDescent="0.25">
      <c r="A1" s="10"/>
      <c r="B1" s="10"/>
      <c r="C1" s="10"/>
      <c r="D1" s="10"/>
      <c r="E1" s="10"/>
      <c r="F1" s="10"/>
      <c r="G1" s="10"/>
      <c r="H1" s="10"/>
      <c r="I1" s="10"/>
      <c r="J1" s="55"/>
    </row>
    <row r="2" spans="1:17" x14ac:dyDescent="0.25">
      <c r="A2" s="6" t="s">
        <v>48</v>
      </c>
      <c r="B2" s="10"/>
      <c r="C2" s="10"/>
      <c r="D2" s="61" t="s">
        <v>76</v>
      </c>
      <c r="E2" s="10"/>
      <c r="F2" s="10"/>
      <c r="G2" s="10"/>
      <c r="H2" s="10"/>
      <c r="I2" s="25" t="s">
        <v>64</v>
      </c>
      <c r="J2" s="55"/>
    </row>
    <row r="3" spans="1:17" x14ac:dyDescent="0.25">
      <c r="A3" s="10"/>
      <c r="B3" s="10"/>
      <c r="C3" s="10"/>
      <c r="D3" s="10"/>
      <c r="E3" s="57" t="s">
        <v>71</v>
      </c>
      <c r="F3" s="57" t="s">
        <v>57</v>
      </c>
      <c r="G3" s="57" t="s">
        <v>52</v>
      </c>
      <c r="H3" s="10"/>
      <c r="I3" s="24" t="s">
        <v>65</v>
      </c>
      <c r="J3" s="55"/>
    </row>
    <row r="4" spans="1:17" x14ac:dyDescent="0.25">
      <c r="A4" s="58" t="s">
        <v>52</v>
      </c>
      <c r="B4" s="30">
        <v>588</v>
      </c>
      <c r="C4" s="10"/>
      <c r="D4" s="58" t="s">
        <v>55</v>
      </c>
      <c r="E4" s="30">
        <v>10</v>
      </c>
      <c r="F4" s="30">
        <v>5</v>
      </c>
      <c r="G4" s="30">
        <v>10</v>
      </c>
      <c r="H4" s="10"/>
      <c r="I4" s="10"/>
      <c r="J4" s="55"/>
    </row>
    <row r="5" spans="1:17" x14ac:dyDescent="0.25">
      <c r="A5" s="58" t="s">
        <v>49</v>
      </c>
      <c r="B5" s="30">
        <v>-0.4</v>
      </c>
      <c r="C5" s="10"/>
      <c r="D5" s="58" t="s">
        <v>56</v>
      </c>
      <c r="E5" s="30">
        <v>15</v>
      </c>
      <c r="F5" s="30">
        <v>6</v>
      </c>
      <c r="G5" s="30">
        <v>25</v>
      </c>
      <c r="H5" s="10"/>
      <c r="I5" s="10"/>
      <c r="J5" s="55"/>
    </row>
    <row r="6" spans="1:17" x14ac:dyDescent="0.25">
      <c r="A6" s="58" t="s">
        <v>50</v>
      </c>
      <c r="B6" s="30">
        <v>-0.52</v>
      </c>
      <c r="C6" s="10"/>
      <c r="D6" s="58" t="s">
        <v>58</v>
      </c>
      <c r="E6" s="30">
        <v>20</v>
      </c>
      <c r="F6" s="30">
        <v>7</v>
      </c>
      <c r="G6" s="30">
        <v>13</v>
      </c>
      <c r="H6" s="10"/>
      <c r="I6" s="10"/>
      <c r="J6" s="55"/>
    </row>
    <row r="7" spans="1:17" x14ac:dyDescent="0.25">
      <c r="A7" s="58" t="s">
        <v>51</v>
      </c>
      <c r="B7" s="30">
        <v>-0.36</v>
      </c>
      <c r="C7" s="10"/>
      <c r="D7" s="58" t="s">
        <v>59</v>
      </c>
      <c r="E7" s="30">
        <v>25</v>
      </c>
      <c r="F7" s="30">
        <v>8</v>
      </c>
      <c r="G7" s="30">
        <v>13</v>
      </c>
      <c r="H7" s="10"/>
      <c r="I7" s="10"/>
      <c r="J7" s="55"/>
    </row>
    <row r="8" spans="1:17" x14ac:dyDescent="0.25">
      <c r="A8" s="10"/>
      <c r="B8" s="10"/>
      <c r="C8" s="10"/>
      <c r="D8" s="10"/>
      <c r="E8" s="10" t="s">
        <v>72</v>
      </c>
      <c r="F8" s="10"/>
      <c r="G8" s="10"/>
      <c r="H8" s="10"/>
      <c r="I8" s="10"/>
      <c r="J8" s="55"/>
    </row>
    <row r="9" spans="1:17" x14ac:dyDescent="0.25">
      <c r="A9" s="58" t="s">
        <v>54</v>
      </c>
      <c r="B9" s="41">
        <f>SQRT(B4)*(B5-B6)/B24</f>
        <v>1.4846422585660775</v>
      </c>
      <c r="C9" s="10"/>
      <c r="D9" s="10"/>
      <c r="E9" s="59" t="s">
        <v>99</v>
      </c>
      <c r="F9" s="10"/>
      <c r="G9" s="10" t="s">
        <v>78</v>
      </c>
      <c r="H9" s="10"/>
      <c r="I9" s="10"/>
      <c r="J9" s="55"/>
    </row>
    <row r="10" spans="1:17" x14ac:dyDescent="0.25">
      <c r="A10" s="58" t="s">
        <v>53</v>
      </c>
      <c r="B10" s="41">
        <f>SQRT(B4)*(B7-B5)/B24</f>
        <v>0.49488075285535965</v>
      </c>
      <c r="C10" s="10"/>
      <c r="D10" s="10"/>
      <c r="E10" s="41">
        <f>SQRT((F4^2+F5^2+F6^2+F7^2)/COUNT(F4:F7))</f>
        <v>6.5954529791364598</v>
      </c>
      <c r="F10" s="10"/>
      <c r="G10" s="54">
        <f>SQRT(((G4-1)*F4^2+(G5-1)*F5^2+(G6-1)*F6^2+(G7-1)*F7^2)/(SUM(G4:G7)-COUNT(G4:G7)))</f>
        <v>6.5494073657167835</v>
      </c>
      <c r="H10" s="10"/>
      <c r="I10" s="10"/>
      <c r="J10" s="55"/>
    </row>
    <row r="11" spans="1:17" x14ac:dyDescent="0.25">
      <c r="A11" s="58"/>
      <c r="B11" s="60"/>
      <c r="C11" s="10"/>
      <c r="D11" s="10"/>
      <c r="E11" s="10"/>
      <c r="F11" s="10"/>
      <c r="G11" s="10"/>
      <c r="H11" s="10"/>
      <c r="I11" s="10"/>
      <c r="J11" s="55"/>
    </row>
    <row r="12" spans="1:17" x14ac:dyDescent="0.25">
      <c r="A12" s="58"/>
      <c r="B12" s="60"/>
      <c r="C12" s="10"/>
      <c r="D12" s="40"/>
      <c r="E12" s="40" t="s">
        <v>70</v>
      </c>
      <c r="F12" s="40"/>
      <c r="G12" s="40" t="s">
        <v>69</v>
      </c>
      <c r="H12" s="40"/>
      <c r="I12" s="10"/>
      <c r="J12" s="55"/>
    </row>
    <row r="13" spans="1:17" x14ac:dyDescent="0.25">
      <c r="A13" s="58"/>
      <c r="B13" s="60"/>
      <c r="C13" s="10"/>
      <c r="D13" s="10"/>
      <c r="E13" s="10" t="s">
        <v>67</v>
      </c>
      <c r="F13" s="10"/>
      <c r="G13" s="59" t="s">
        <v>67</v>
      </c>
      <c r="H13" s="10"/>
      <c r="I13" s="10"/>
      <c r="J13" s="55"/>
    </row>
    <row r="14" spans="1:17" x14ac:dyDescent="0.25">
      <c r="A14" s="58"/>
      <c r="B14" s="60"/>
      <c r="C14" s="10"/>
      <c r="D14" s="10"/>
      <c r="E14" s="41">
        <f>SQRT((F4^2*G4+F5^2*G5+F6^2*G6+F7^2*G7+G4*(E4-B25)^2+G5*(E5-B25)^2+G6*(E6-B25)^2+G7*(E7-B25)^2)/SUM(G4:G7))</f>
        <v>8.2475310452185369</v>
      </c>
      <c r="F14" s="10"/>
      <c r="G14" s="41">
        <f>SQRT((G4*F4^2+G5*F5^2+G6*F6^2+G7*F7^2)/SUM(G4:G7))</f>
        <v>6.5524366635251194</v>
      </c>
      <c r="I14" s="10"/>
      <c r="J14" s="55"/>
    </row>
    <row r="15" spans="1:17" x14ac:dyDescent="0.25">
      <c r="A15" s="58"/>
      <c r="B15" s="60"/>
      <c r="C15" s="10"/>
      <c r="D15" s="10"/>
      <c r="E15" s="10"/>
      <c r="F15" s="10"/>
      <c r="G15" s="10"/>
      <c r="H15" s="10"/>
      <c r="I15" s="10"/>
      <c r="J15" s="55"/>
    </row>
    <row r="16" spans="1:17" x14ac:dyDescent="0.25">
      <c r="A16" s="10"/>
      <c r="B16" s="10"/>
      <c r="C16" s="10"/>
      <c r="D16" s="61" t="s">
        <v>102</v>
      </c>
      <c r="E16" s="10"/>
      <c r="F16" s="10"/>
      <c r="G16" s="10"/>
      <c r="H16" s="10"/>
      <c r="I16" s="10"/>
      <c r="J16" s="55"/>
      <c r="Q16" s="10"/>
    </row>
    <row r="17" spans="1:10" x14ac:dyDescent="0.25">
      <c r="A17" s="10"/>
      <c r="B17" s="10"/>
      <c r="C17" s="10"/>
      <c r="D17" s="10"/>
      <c r="E17" s="10" t="s">
        <v>57</v>
      </c>
      <c r="F17" t="s">
        <v>101</v>
      </c>
      <c r="H17" s="10"/>
      <c r="I17" s="10"/>
      <c r="J17" s="55"/>
    </row>
    <row r="18" spans="1:10" x14ac:dyDescent="0.25">
      <c r="A18" s="10"/>
      <c r="B18" s="10"/>
      <c r="C18" s="10"/>
      <c r="D18" s="58" t="s">
        <v>83</v>
      </c>
      <c r="E18" s="30">
        <v>10</v>
      </c>
      <c r="F18" s="41">
        <f>SQRT(E18^2+E19^2-2*E18*E19*E20)</f>
        <v>8.2462112512353212</v>
      </c>
      <c r="G18" s="10"/>
      <c r="H18" s="10"/>
      <c r="I18" s="10"/>
      <c r="J18" s="55"/>
    </row>
    <row r="19" spans="1:10" x14ac:dyDescent="0.25">
      <c r="A19" s="10"/>
      <c r="B19" s="10"/>
      <c r="C19" s="10"/>
      <c r="D19" s="58" t="s">
        <v>84</v>
      </c>
      <c r="E19" s="30">
        <v>8</v>
      </c>
      <c r="F19" s="10"/>
      <c r="G19" s="10"/>
      <c r="H19" s="10"/>
      <c r="I19" s="10"/>
      <c r="J19" s="55"/>
    </row>
    <row r="20" spans="1:10" x14ac:dyDescent="0.25">
      <c r="A20" s="10"/>
      <c r="B20" s="10"/>
      <c r="C20" s="10"/>
      <c r="D20" s="58" t="s">
        <v>77</v>
      </c>
      <c r="E20" s="30">
        <v>0.6</v>
      </c>
      <c r="F20" s="10"/>
      <c r="G20" s="10"/>
      <c r="H20" s="10"/>
      <c r="I20" s="10"/>
      <c r="J20" s="55"/>
    </row>
    <row r="21" spans="1:10" x14ac:dyDescent="0.25">
      <c r="A21" s="10"/>
      <c r="B21" s="10"/>
      <c r="C21" s="10"/>
      <c r="D21" s="58"/>
      <c r="E21" s="10"/>
      <c r="F21" s="10"/>
      <c r="G21" s="10"/>
      <c r="H21" s="10"/>
      <c r="I21" s="10"/>
      <c r="J21" s="55"/>
    </row>
    <row r="22" spans="1:10" x14ac:dyDescent="0.25">
      <c r="A22" s="66" t="s">
        <v>66</v>
      </c>
      <c r="B22" s="66"/>
      <c r="C22" s="66"/>
      <c r="D22" s="66"/>
      <c r="E22" s="66"/>
      <c r="F22" s="66"/>
      <c r="G22" s="66"/>
      <c r="H22" s="66"/>
      <c r="I22" s="66"/>
      <c r="J22" s="56"/>
    </row>
    <row r="24" spans="1:10" hidden="1" x14ac:dyDescent="0.25">
      <c r="A24" t="s">
        <v>2</v>
      </c>
      <c r="B24">
        <f>NORMSINV(1-0.05/2)</f>
        <v>1.9599639845400536</v>
      </c>
    </row>
    <row r="25" spans="1:10" ht="30" hidden="1" x14ac:dyDescent="0.25">
      <c r="A25" s="33" t="s">
        <v>68</v>
      </c>
      <c r="B25" s="32">
        <f>(E4*G4+E5*G5+E6*G6+E7*G7)/(SUM(G4:G7))</f>
        <v>17.377049180327869</v>
      </c>
    </row>
    <row r="27" spans="1:10" hidden="1" x14ac:dyDescent="0.25">
      <c r="A27" s="40" t="s">
        <v>78</v>
      </c>
      <c r="B27" s="41">
        <f>SQRT((E18^2+E19^2-2*E18*E19*E20)/2)</f>
        <v>5.8309518948453007</v>
      </c>
      <c r="C27" t="s">
        <v>100</v>
      </c>
    </row>
    <row r="29" spans="1:10" hidden="1" x14ac:dyDescent="0.25">
      <c r="A29" t="s">
        <v>103</v>
      </c>
    </row>
    <row r="30" spans="1:10" hidden="1" x14ac:dyDescent="0.25">
      <c r="A30" t="s">
        <v>104</v>
      </c>
    </row>
  </sheetData>
  <sheetProtection algorithmName="SHA-512" hashValue="s9TZrWnEk/nMNSJ8FQrJ/Pm/UTAo7wiKrlXcOgwPj7sJlvN5UDwSESLHsdYoyaeCKjAqDDvN7HnljtNihiy8+A==" saltValue="fgTfrzdWe9frK0C64FGR7w==" spinCount="100000" sheet="1" objects="1" scenarios="1"/>
  <mergeCells count="1">
    <mergeCell ref="A22:I22"/>
  </mergeCells>
  <dataValidations count="1">
    <dataValidation type="decimal" operator="greaterThan" allowBlank="1" showInputMessage="1" showErrorMessage="1" sqref="B4 E4:E7" xr:uid="{21D4443F-10C6-4FF8-9DF1-1986EFF5A8B2}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Means (2 groups)</vt:lpstr>
      <vt:lpstr>Proportions (2 groups)</vt:lpstr>
      <vt:lpstr>Questionnaire</vt:lpstr>
      <vt:lpstr>Useful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Januszewski</dc:creator>
  <cp:lastModifiedBy>Andrzej Januszewski</cp:lastModifiedBy>
  <dcterms:created xsi:type="dcterms:W3CDTF">2012-03-22T05:56:55Z</dcterms:created>
  <dcterms:modified xsi:type="dcterms:W3CDTF">2026-05-14T22:50:43Z</dcterms:modified>
</cp:coreProperties>
</file>